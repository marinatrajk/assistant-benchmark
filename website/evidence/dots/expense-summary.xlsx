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5d0bcd844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5d1153a6454ccc"/>
    <x:sheet xmlns:r="http://schemas.openxmlformats.org/officeDocument/2006/relationships" name="Cleaned" sheetId="2" r:id="Rb6d27d0b7bdc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"/>
    <x:numFmt numFmtId="201" formatCode="mm/dd/yy"/>
  </x:numFmts>
  <x:fonts count="7">
    <x:font>
      <x:sz val="11"/>
      <x:name val="Carlito"/>
    </x:font>
    <x:font>
      <x:sz val="10"/>
      <x:color rgb="FF172033"/>
      <x:name val="Arial"/>
    </x:font>
    <x:font>
      <x:b/>
      <x:sz val="16"/>
      <x:color rgb="FF172033"/>
      <x:name val="Arial"/>
    </x:font>
    <x:font>
      <x:i/>
      <x:sz val="10"/>
      <x:color rgb="FF536078"/>
      <x:name val="Arial"/>
    </x:font>
    <x:font>
      <x:b/>
      <x:sz val="10"/>
      <x:color rgb="FFFFFFFF"/>
      <x:name val="Arial"/>
    </x:font>
    <x:font>
      <x:b/>
      <x:sz val="10"/>
      <x:color rgb="FF172033"/>
      <x:name val="Arial"/>
    </x:font>
    <x:font>
      <x:b/>
      <x:sz val="12"/>
      <x:color rgb="FF1720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876"/>
      </x:patternFill>
    </x:fill>
    <x:fill>
      <x:patternFill patternType="solid">
        <x:fgColor rgb="FFE9EDF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8A4E00"/>
      </x:font>
      <x:fill>
        <x:patternFill patternType="solid">
          <x:bgColor rgb="FFFFF0CE"/>
        </x:patternFill>
      </x:fill>
    </x:dxf>
    <x:dxf>
      <x:font>
        <x:color rgb="FF8A4E00"/>
      </x:font>
      <x:fill>
        <x:patternFill patternType="solid">
          <x:bgColor rgb="FFFFF0CE"/>
        </x:patternFill>
      </x:fill>
    </x:dxf>
    <x:dxf>
      <x:font>
        <x:color rgb="FF8A4E00"/>
      </x:font>
      <x:fill>
        <x:patternFill patternType="solid">
          <x:bgColor rgb="FFFFF0CE"/>
        </x:patternFill>
      </x:fill>
    </x:dxf>
    <x:dxf>
      <x:font>
        <x:color rgb="FFAC243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30bceb184486e" /><Relationship Type="http://schemas.openxmlformats.org/officeDocument/2006/relationships/theme" Target="/xl/theme/theme1.xml" Id="R92dd83c0e43d4ad4" /><Relationship Type="http://schemas.openxmlformats.org/officeDocument/2006/relationships/sharedStrings" Target="/xl/sharedStrings.xml" Id="R37f81c2f972b4f36" /><Relationship Type="http://schemas.openxmlformats.org/officeDocument/2006/relationships/worksheet" Target="/xl/worksheets/sheet1.xml" Id="Rdf5d1153a6454ccc" /><Relationship Type="http://schemas.openxmlformats.org/officeDocument/2006/relationships/worksheet" Target="/xl/worksheets/sheet2.xml" Id="Rb6d27d0b7bdc484e" /></Relationships>
</file>

<file path=xl/tables/table1.xml><?xml version="1.0" encoding="utf-8"?>
<x:table xmlns:x="http://schemas.openxmlformats.org/spreadsheetml/2006/main" id="1" name="CleanedExpenses" displayName="CleanedExpenses" ref="A5:I14" headerRowCount="1" totalsRowCount="0" totalsRowShown="0">
  <x:tableColumns count="9">
    <x:tableColumn id="1" name="Record ID"/>
    <x:tableColumn id="2" name="Receipt ID"/>
    <x:tableColumn id="3" name="Date"/>
    <x:tableColumn id="4" name="Merchant"/>
    <x:tableColumn id="5" name="Category"/>
    <x:tableColumn id="6" name="Amount (USD)"/>
    <x:tableColumn id="7" name="Currency"/>
    <x:tableColumn id="8" name="Review flag"/>
    <x:tableColumn id="9" name="Duplicate handl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abff2aa7f24dda" /></Relationships>
</file>

<file path=xl/worksheets/sheet1.xml><?xml version="1.0" encoding="utf-8"?>
<x:worksheet xmlns:x="http://schemas.openxmlformats.org/spreadsheetml/2006/main">
  <x:sheetPr>
    <x:tabColor rgb="FF233876"/>
  </x:sheetPr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40" hidden="0" customWidth="1"/>
    <x:col min="4" max="4" width="22" hidden="0" customWidth="1"/>
    <x:col min="5" max="5" width="2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Expense summary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October 1, 2026. All amounts in USD.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7" customHeight="1">
      <x:c r="A5" s="7" t="str">
        <x:v>Category</x:v>
      </x:c>
      <x:c r="B5" s="7" t="str">
        <x:v>Net total (USD)</x:v>
      </x:c>
      <x:c r="C5" s="2"/>
      <x:c r="D5" s="7" t="str">
        <x:v>Receipt count</x:v>
      </x:c>
      <x:c r="E5" s="7" t="str">
        <x:v>Records</x:v>
      </x:c>
      <x:c r="F5" s="2"/>
      <x:c r="G5" s="2"/>
      <x:c r="H5" s="2"/>
      <x:c r="I5" s="2"/>
      <x:c r="J5" s="2"/>
    </x:row>
    <x:row r="6" ht="23" customHeight="1">
      <x:c r="A6" s="2" t="str">
        <x:v>Lodging</x:v>
      </x:c>
      <x:c r="B6" s="13" t="n">
        <x:f>SUMIFS('Cleaned'!$F$6:$F$14,'Cleaned'!$E$6:$E$14,A6)</x:f>
        <x:v>120</x:v>
      </x:c>
      <x:c r="C6" s="2"/>
      <x:c r="D6" s="2" t="str">
        <x:v>Source records</x:v>
      </x:c>
      <x:c r="E6" s="15" t="n">
        <x:v>10</x:v>
      </x:c>
      <x:c r="F6" s="2"/>
      <x:c r="G6" s="2"/>
      <x:c r="H6" s="2"/>
      <x:c r="I6" s="2"/>
      <x:c r="J6" s="2"/>
    </x:row>
    <x:row r="7" ht="23" customHeight="1">
      <x:c r="A7" s="2" t="str">
        <x:v>Meals</x:v>
      </x:c>
      <x:c r="B7" s="13" t="n">
        <x:f>SUMIFS('Cleaned'!$F$6:$F$14,'Cleaned'!$E$6:$E$14,A7)</x:f>
        <x:v>41.900000000000006</x:v>
      </x:c>
      <x:c r="C7" s="2"/>
      <x:c r="D7" s="2" t="str">
        <x:v>Distinct receipts</x:v>
      </x:c>
      <x:c r="E7" s="15" t="n">
        <x:v>9</x:v>
      </x:c>
      <x:c r="F7" s="2"/>
      <x:c r="G7" s="2"/>
      <x:c r="H7" s="2"/>
      <x:c r="I7" s="2"/>
      <x:c r="J7" s="2"/>
    </x:row>
    <x:row r="8" ht="23" customHeight="1">
      <x:c r="A8" s="2" t="str">
        <x:v>Office</x:v>
      </x:c>
      <x:c r="B8" s="13" t="n">
        <x:f>SUMIFS('Cleaned'!$F$6:$F$14,'Cleaned'!$E$6:$E$14,A8)</x:f>
        <x:v>3</x:v>
      </x:c>
      <x:c r="C8" s="2"/>
      <x:c r="D8" s="2" t="str">
        <x:v>Numeric amounts</x:v>
      </x:c>
      <x:c r="E8" s="15" t="n">
        <x:f>COUNT('Cleaned'!F6:F14)</x:f>
        <x:v>8</x:v>
      </x:c>
      <x:c r="F8" s="2"/>
      <x:c r="G8" s="2"/>
      <x:c r="H8" s="2"/>
      <x:c r="I8" s="2"/>
      <x:c r="J8" s="2"/>
    </x:row>
    <x:row r="9" ht="23" customHeight="1">
      <x:c r="A9" s="2" t="str">
        <x:v>Transport</x:v>
      </x:c>
      <x:c r="B9" s="13" t="n">
        <x:f>SUMIFS('Cleaned'!$F$6:$F$14,'Cleaned'!$E$6:$E$14,A9)</x:f>
        <x:v>24.9</x:v>
      </x:c>
      <x:c r="C9" s="2"/>
      <x:c r="D9" s="2" t="str">
        <x:v>Missing amounts</x:v>
      </x:c>
      <x:c r="E9" s="15" t="n">
        <x:f>COUNTBLANK('Cleaned'!F6:F14)</x:f>
        <x:v>1</x:v>
      </x:c>
      <x:c r="F9" s="2"/>
      <x:c r="G9" s="2"/>
      <x:c r="H9" s="2"/>
      <x:c r="I9" s="2"/>
      <x:c r="J9" s="2"/>
    </x:row>
    <x:row r="10" ht="23" customHeight="1">
      <x:c r="A10" s="9" t="str">
        <x:v>Overall known total</x:v>
      </x:c>
      <x:c r="B10" s="14" t="n">
        <x:f>SUM(B6:B9)</x:f>
        <x:v>189.8</x:v>
      </x:c>
      <x:c r="C10" s="2"/>
      <x:c r="D10" s="2"/>
      <x:c r="E10" s="2"/>
      <x:c r="F10" s="2"/>
      <x:c r="G10" s="2"/>
      <x:c r="H10" s="2"/>
      <x:c r="I10" s="2"/>
      <x:c r="J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3" customHeight="1">
      <x:c r="A12" s="12" t="str">
        <x:v>Review needed</x:v>
      </x:c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3" customHeight="1">
      <x:c r="A13" s="2" t="str">
        <x:f>IF(E9&gt;0,"Known total excludes missing amounts. Supply the missing receipt amount before finalizing.","All retained receipts have amounts.")</x:f>
        <x:v>Known total excludes missing amounts. Supply the missing receipt amount before finalizing.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7" customHeight="1">
      <x:c r="A15" s="7" t="str">
        <x:v>Record / receipt</x:v>
      </x:c>
      <x:c r="B15" s="7" t="str">
        <x:v>Issue</x:v>
      </x:c>
      <x:c r="C15" s="7" t="str">
        <x:v>Action</x:v>
      </x:c>
      <x:c r="D15" s="7" t="str">
        <x:v>Amount (USD)</x:v>
      </x:c>
      <x:c r="E15" s="7" t="str">
        <x:v>Status</x:v>
      </x:c>
      <x:c r="F15" s="2"/>
      <x:c r="G15" s="2"/>
      <x:c r="H15" s="2"/>
      <x:c r="I15" s="2"/>
      <x:c r="J15" s="2"/>
    </x:row>
    <x:row r="16" ht="23" customHeight="1">
      <x:c r="A16" s="2" t="str">
        <x:v>r010 / A110</x:v>
      </x:c>
      <x:c r="B16" s="2" t="str">
        <x:v>Missing amount</x:v>
      </x:c>
      <x:c r="C16" s="2" t="str">
        <x:v>Station Kiosk: supply amount</x:v>
      </x:c>
      <x:c r="D16" s="13" t="str">
        <x:f>IF(ISNUMBER('Cleaned'!F14),'Cleaned'!F14,"")</x:f>
      </x:c>
      <x:c r="E16" s="2" t="str">
        <x:f>IF(ISNUMBER('Cleaned'!F14),"Amount supplied","Needs review")</x:f>
        <x:v>Needs review</x:v>
      </x:c>
      <x:c r="F16" s="2"/>
      <x:c r="G16" s="2"/>
      <x:c r="H16" s="2"/>
      <x:c r="I16" s="2"/>
      <x:c r="J16" s="2"/>
    </x:row>
    <x:row r="17" ht="23" customHeight="1">
      <x:c r="A17" s="2" t="str">
        <x:v>r005 / A103</x:v>
      </x:c>
      <x:c r="B17" s="2" t="str">
        <x:v>Duplicate</x:v>
      </x:c>
      <x:c r="C17" s="2" t="str">
        <x:v>r003 retained; r005 excluded</x:v>
      </x:c>
      <x:c r="D17" s="13" t="n">
        <x:v>12.8</x:v>
      </x:c>
      <x:c r="E17" s="2" t="str">
        <x:v>Handled</x:v>
      </x:c>
      <x:c r="F17" s="2"/>
      <x:c r="G17" s="2"/>
      <x:c r="H17" s="2"/>
      <x:c r="I17" s="2"/>
      <x:c r="J17" s="2"/>
    </x:row>
    <x:row r="18" ht="23" customHeight="1">
      <x:c r="A18" s="2" t="str">
        <x:v>r007 / A107</x:v>
      </x:c>
      <x:c r="B18" s="2" t="str">
        <x:v>Refund</x:v>
      </x:c>
      <x:c r="C18" s="2" t="str">
        <x:v>Retained as negative expense</x:v>
      </x:c>
      <x:c r="D18" s="13" t="n">
        <x:v>-5</x:v>
      </x:c>
      <x:c r="E18" s="2" t="str">
        <x:v>Included</x:v>
      </x:c>
      <x:c r="F18" s="2"/>
      <x:c r="G18" s="2"/>
      <x:c r="H18" s="2"/>
      <x:c r="I18" s="2"/>
      <x:c r="J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12" t="str">
        <x:v>Cleaning method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5" customHeight="1">
      <x:c r="A22" s="2" t="str">
        <x:v>Deduplicate by receipt_id. Keep the first occurrence when all other fields match except record_id.</x:v>
      </x:c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5" customHeight="1">
      <x:c r="A23" s="2" t="str">
        <x:v>The only excluded row is r005, a duplicate of r003 (A103). No conflicting duplicate values were found.</x:v>
      </x:c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5" customHeight="1">
      <x:c r="A24" s="2" t="str">
        <x:v>Keep missing amounts blank and retain their receipt rows. Include only numeric amounts in totals.</x:v>
      </x:c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5" customHeight="1">
      <x:c r="A25" s="2" t="str">
        <x:v>Keep refunds negative. The $5.00 refund reduces Office expense from $8.00 to $3.00.</x:v>
      </x:c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</x:sheetData>
  <x:conditionalFormatting sqref="A13:E13">
    <x:cfRule type="expression" dxfId="0" priority="1">
      <x:formula>$E$9&gt;0</x:formula>
    </x:cfRule>
  </x:conditionalFormatting>
  <x:conditionalFormatting sqref="A16:E16">
    <x:cfRule type="expression" dxfId="1" priority="2">
      <x:formula>$E16="Needs review"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6" hidden="0" customWidth="1"/>
    <x:col min="5" max="5" width="17" hidden="0" customWidth="1"/>
    <x:col min="6" max="6" width="20" hidden="0" customWidth="1"/>
    <x:col min="7" max="7" width="13" hidden="0" customWidth="1"/>
    <x:col min="8" max="8" width="23" hidden="0" customWidth="1"/>
    <x:col min="9" max="9" width="3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Cleaned expenses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 t="str">
        <x:v>Source: sample-expenses.csv. Original file preserved. Missing amounts remain blank.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7" customHeight="1">
      <x:c r="A5" s="7" t="str">
        <x:v>Record ID</x:v>
      </x:c>
      <x:c r="B5" s="7" t="str">
        <x:v>Receipt ID</x:v>
      </x:c>
      <x:c r="C5" s="7" t="str">
        <x:v>Date</x:v>
      </x:c>
      <x:c r="D5" s="7" t="str">
        <x:v>Merchant</x:v>
      </x:c>
      <x:c r="E5" s="7" t="str">
        <x:v>Category</x:v>
      </x:c>
      <x:c r="F5" s="7" t="str">
        <x:v>Amount (USD)</x:v>
      </x:c>
      <x:c r="G5" s="7" t="str">
        <x:v>Currency</x:v>
      </x:c>
      <x:c r="H5" s="7" t="str">
        <x:v>Review flag</x:v>
      </x:c>
      <x:c r="I5" s="7" t="str">
        <x:v>Duplicate handling</x:v>
      </x:c>
      <x:c r="J5" s="2"/>
    </x:row>
    <x:row r="6" ht="23" customHeight="1">
      <x:c r="A6" s="2" t="str">
        <x:v>r001</x:v>
      </x:c>
      <x:c r="B6" s="2" t="str">
        <x:v>A101</x:v>
      </x:c>
      <x:c r="C6" s="16" t="n">
        <x:v>46296</x:v>
      </x:c>
      <x:c r="D6" s="2" t="str">
        <x:v>Metro</x:v>
      </x:c>
      <x:c r="E6" s="2" t="str">
        <x:v>Transport</x:v>
      </x:c>
      <x:c r="F6" s="13" t="n">
        <x:v>2.9</x:v>
      </x:c>
      <x:c r="G6" s="2" t="str">
        <x:v>USD</x:v>
      </x:c>
      <x:c r="H6" s="2" t="str">
        <x:f>IF(ISNUMBER(F6),IF(F6&lt;0,"Refund retained",""),"Missing amount")</x:f>
      </x:c>
      <x:c r="I6" s="2" t="str"/>
      <x:c r="J6" s="2"/>
    </x:row>
    <x:row r="7" ht="23" customHeight="1">
      <x:c r="A7" s="2" t="str">
        <x:v>r002</x:v>
      </x:c>
      <x:c r="B7" s="2" t="str">
        <x:v>A102</x:v>
      </x:c>
      <x:c r="C7" s="16" t="n">
        <x:v>46296</x:v>
      </x:c>
      <x:c r="D7" s="2" t="str">
        <x:v>Coffee Corner</x:v>
      </x:c>
      <x:c r="E7" s="2" t="str">
        <x:v>Meals</x:v>
      </x:c>
      <x:c r="F7" s="13" t="n">
        <x:v>4.5</x:v>
      </x:c>
      <x:c r="G7" s="2" t="str">
        <x:v>USD</x:v>
      </x:c>
      <x:c r="H7" s="2" t="str">
        <x:f>IF(ISNUMBER(F7),IF(F7&lt;0,"Refund retained",""),"Missing amount")</x:f>
      </x:c>
      <x:c r="I7" s="2" t="str"/>
      <x:c r="J7" s="2"/>
    </x:row>
    <x:row r="8" ht="23" customHeight="1">
      <x:c r="A8" s="2" t="str">
        <x:v>r003</x:v>
      </x:c>
      <x:c r="B8" s="2" t="str">
        <x:v>A103</x:v>
      </x:c>
      <x:c r="C8" s="16" t="n">
        <x:v>46296</x:v>
      </x:c>
      <x:c r="D8" s="2" t="str">
        <x:v>Market Lunch</x:v>
      </x:c>
      <x:c r="E8" s="2" t="str">
        <x:v>Meals</x:v>
      </x:c>
      <x:c r="F8" s="13" t="n">
        <x:v>12.8</x:v>
      </x:c>
      <x:c r="G8" s="2" t="str">
        <x:v>USD</x:v>
      </x:c>
      <x:c r="H8" s="2" t="str">
        <x:f>IF(ISNUMBER(F8),IF(F8&lt;0,"Refund retained",""),"Missing amount")</x:f>
      </x:c>
      <x:c r="I8" s="2" t="str">
        <x:v>r005 excluded; first kept</x:v>
      </x:c>
      <x:c r="J8" s="2"/>
    </x:row>
    <x:row r="9" ht="23" customHeight="1">
      <x:c r="A9" s="2" t="str">
        <x:v>r004</x:v>
      </x:c>
      <x:c r="B9" s="2" t="str">
        <x:v>A104</x:v>
      </x:c>
      <x:c r="C9" s="16" t="n">
        <x:v>46296</x:v>
      </x:c>
      <x:c r="D9" s="2" t="str">
        <x:v>Paper Shop</x:v>
      </x:c>
      <x:c r="E9" s="2" t="str">
        <x:v>Office</x:v>
      </x:c>
      <x:c r="F9" s="13" t="n">
        <x:v>8</x:v>
      </x:c>
      <x:c r="G9" s="2" t="str">
        <x:v>USD</x:v>
      </x:c>
      <x:c r="H9" s="2" t="str">
        <x:f>IF(ISNUMBER(F9),IF(F9&lt;0,"Refund retained",""),"Missing amount")</x:f>
      </x:c>
      <x:c r="I9" s="2" t="str"/>
      <x:c r="J9" s="2"/>
    </x:row>
    <x:row r="10" ht="23" customHeight="1">
      <x:c r="A10" s="2" t="str">
        <x:v>r006</x:v>
      </x:c>
      <x:c r="B10" s="2" t="str">
        <x:v>A106</x:v>
      </x:c>
      <x:c r="C10" s="16" t="n">
        <x:v>46296</x:v>
      </x:c>
      <x:c r="D10" s="2" t="str">
        <x:v>City Taxi</x:v>
      </x:c>
      <x:c r="E10" s="2" t="str">
        <x:v>Transport</x:v>
      </x:c>
      <x:c r="F10" s="13" t="n">
        <x:v>22</x:v>
      </x:c>
      <x:c r="G10" s="2" t="str">
        <x:v>USD</x:v>
      </x:c>
      <x:c r="H10" s="2" t="str">
        <x:f>IF(ISNUMBER(F10),IF(F10&lt;0,"Refund retained",""),"Missing amount")</x:f>
      </x:c>
      <x:c r="I10" s="2" t="str"/>
      <x:c r="J10" s="2"/>
    </x:row>
    <x:row r="11" ht="23" customHeight="1">
      <x:c r="A11" s="2" t="str">
        <x:v>r007</x:v>
      </x:c>
      <x:c r="B11" s="2" t="str">
        <x:v>A107</x:v>
      </x:c>
      <x:c r="C11" s="16" t="n">
        <x:v>46296</x:v>
      </x:c>
      <x:c r="D11" s="2" t="str">
        <x:v>Paper Shop refund</x:v>
      </x:c>
      <x:c r="E11" s="2" t="str">
        <x:v>Office</x:v>
      </x:c>
      <x:c r="F11" s="13" t="n">
        <x:v>-5</x:v>
      </x:c>
      <x:c r="G11" s="2" t="str">
        <x:v>USD</x:v>
      </x:c>
      <x:c r="H11" s="2" t="str">
        <x:f>IF(ISNUMBER(F11),IF(F11&lt;0,"Refund retained",""),"Missing amount")</x:f>
        <x:v>Refund retained</x:v>
      </x:c>
      <x:c r="I11" s="2" t="str"/>
      <x:c r="J11" s="2"/>
    </x:row>
    <x:row r="12" ht="23" customHeight="1">
      <x:c r="A12" s="2" t="str">
        <x:v>r008</x:v>
      </x:c>
      <x:c r="B12" s="2" t="str">
        <x:v>A108</x:v>
      </x:c>
      <x:c r="C12" s="16" t="n">
        <x:v>46296</x:v>
      </x:c>
      <x:c r="D12" s="2" t="str">
        <x:v>Example Hotel</x:v>
      </x:c>
      <x:c r="E12" s="2" t="str">
        <x:v>Lodging</x:v>
      </x:c>
      <x:c r="F12" s="13" t="n">
        <x:v>120</x:v>
      </x:c>
      <x:c r="G12" s="2" t="str">
        <x:v>USD</x:v>
      </x:c>
      <x:c r="H12" s="2" t="str">
        <x:f>IF(ISNUMBER(F12),IF(F12&lt;0,"Refund retained",""),"Missing amount")</x:f>
      </x:c>
      <x:c r="I12" s="2" t="str"/>
      <x:c r="J12" s="2"/>
    </x:row>
    <x:row r="13" ht="23" customHeight="1">
      <x:c r="A13" s="2" t="str">
        <x:v>r009</x:v>
      </x:c>
      <x:c r="B13" s="2" t="str">
        <x:v>A109</x:v>
      </x:c>
      <x:c r="C13" s="16" t="n">
        <x:v>46296</x:v>
      </x:c>
      <x:c r="D13" s="2" t="str">
        <x:v>Dinner Cafe</x:v>
      </x:c>
      <x:c r="E13" s="2" t="str">
        <x:v>Meals</x:v>
      </x:c>
      <x:c r="F13" s="13" t="n">
        <x:v>24.6</x:v>
      </x:c>
      <x:c r="G13" s="2" t="str">
        <x:v>USD</x:v>
      </x:c>
      <x:c r="H13" s="2" t="str">
        <x:f>IF(ISNUMBER(F13),IF(F13&lt;0,"Refund retained",""),"Missing amount")</x:f>
      </x:c>
      <x:c r="I13" s="2" t="str"/>
      <x:c r="J13" s="2"/>
    </x:row>
    <x:row r="14" ht="23" customHeight="1">
      <x:c r="A14" s="2" t="str">
        <x:v>r010</x:v>
      </x:c>
      <x:c r="B14" s="2" t="str">
        <x:v>A110</x:v>
      </x:c>
      <x:c r="C14" s="16" t="n">
        <x:v>46296</x:v>
      </x:c>
      <x:c r="D14" s="2" t="str">
        <x:v>Station Kiosk</x:v>
      </x:c>
      <x:c r="E14" s="2" t="str">
        <x:v>Meals</x:v>
      </x:c>
      <x:c r="F14" s="13"/>
      <x:c r="G14" s="2" t="str">
        <x:v>USD</x:v>
      </x:c>
      <x:c r="H14" s="2" t="str">
        <x:f>IF(ISNUMBER(F14),IF(F14&lt;0,"Refund retained",""),"Missing amount")</x:f>
        <x:v>Missing amount</x:v>
      </x:c>
      <x:c r="I14" s="2" t="str"/>
      <x:c r="J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</x:sheetData>
  <x:conditionalFormatting sqref="A6:I14">
    <x:cfRule type="expression" dxfId="2" priority="1">
      <x:formula>NOT(ISNUMBER($F6))</x:formula>
    </x:cfRule>
  </x:conditionalFormatting>
  <x:conditionalFormatting sqref="F6:F14">
    <x:cfRule type="cellIs" dxfId="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abff2aa7f24dda"/>
  </x:tableParts>
</x:worksheet>
</file>